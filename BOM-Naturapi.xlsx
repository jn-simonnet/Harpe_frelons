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JNS" sheetId="1" state="visible" r:id="rId3"/>
    <sheet name="Découpe tasseaux harpes" sheetId="2" state="visible" r:id="rId4"/>
    <sheet name="Choix panneaux solaires" sheetId="3" state="visible" r:id="rId5"/>
    <sheet name="Support panneau solaire" sheetId="4" state="visible" r:id="rId6"/>
    <sheet name="Support panneaux découpe bo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<sst xmlns="http://schemas.openxmlformats.org/spreadsheetml/2006/main" count="176" uniqueCount="110">
  <si>
    <t xml:space="preserve">Article</t>
  </si>
  <si>
    <t xml:space="preserve">Fournisseur</t>
  </si>
  <si>
    <t xml:space="preserve">PU (€)</t>
  </si>
  <si>
    <t xml:space="preserve">Qty</t>
  </si>
  <si>
    <t xml:space="preserve">TOTAL (€)</t>
  </si>
  <si>
    <t xml:space="preserve">URL</t>
  </si>
  <si>
    <t xml:space="preserve">Construction harpes</t>
  </si>
  <si>
    <t xml:space="preserve">Botte de 8 tasseaux en sapin brut L. 2,40 m - Section 38 x 15 mm </t>
  </si>
  <si>
    <t xml:space="preserve">Brico Dépôt</t>
  </si>
  <si>
    <t xml:space="preserve">https://www.bricodepot.fr/lempdes-clermont-ferrand/botte-de-8-tasseaux-en-sapin-brut-l-240-m-section-38-x-15-mm/prod63236/</t>
  </si>
  <si>
    <t xml:space="preserve">Vernis marin bois incolore mat 0,25L Syntilor</t>
  </si>
  <si>
    <t xml:space="preserve">Castorama</t>
  </si>
  <si>
    <t xml:space="preserve">https://www.castorama.fr/vernis-marin-bois-incolore-mat-0-25l-syntilor/3239911261096_CAFR.prd</t>
  </si>
  <si>
    <t xml:space="preserve">Auge en plastique tous travaux - 10 L</t>
  </si>
  <si>
    <t xml:space="preserve">https://www.bricodepot.fr/lempdes-clermont-ferrand/auge-en-plastique-tous-travaux-10-l/prod382/ref281622/</t>
  </si>
  <si>
    <t xml:space="preserve">Équerre d'assemblage 60x60x40 mm Ép. 1,5 à 2,5 mm selon les modèles - Simpson</t>
  </si>
  <si>
    <t xml:space="preserve">https://www.bricodepot.fr/lempdes-clermont-ferrand/equerre-dassemblage60x60x40-mm-ep-15-a-25mm-selon-les-modeles/prod1707/ref172596/</t>
  </si>
  <si>
    <t xml:space="preserve">Boite 300 vis à bois PowerFast II 4 x 40 mm tête fraisée, zingué blanc</t>
  </si>
  <si>
    <t xml:space="preserve">https://www.bricodepot.fr/lempdes-clermont-ferrand/boite-300-vis-a-bois-powerfast-ii-4-x-40-mm-tete-fraisee-zingue-blanc-filetage-total/prod87960/ref120577/</t>
  </si>
  <si>
    <t xml:space="preserve">Vis 4 mm x 40mm</t>
  </si>
  <si>
    <t xml:space="preserve">Vis 4x20</t>
  </si>
  <si>
    <t xml:space="preserve">Isolateurs plastique 24 par harpe</t>
  </si>
  <si>
    <t xml:space="preserve">Fabrication additive selon design J.N. Simonnet</t>
  </si>
  <si>
    <t xml:space="preserve">Barrette plastique pour fabrication de harpe à frelon KEMP, La paire</t>
  </si>
  <si>
    <t xml:space="preserve">Naturapi</t>
  </si>
  <si>
    <t xml:space="preserve">https://www.naturapi.com/barrettes-pour-fabrication-de-harpe-a-frelon-kemp-la-paire.html</t>
  </si>
  <si>
    <t xml:space="preserve">Fil inox, la bobine de 250g (0,45 mm)</t>
  </si>
  <si>
    <t xml:space="preserve">https://www.naturapi.com/fil-inox-recuit-diam-inox-1-4301-304-bobine-de-250g.html</t>
  </si>
  <si>
    <t xml:space="preserve">Electronique</t>
  </si>
  <si>
    <t xml:space="preserve">Boîte de dérivation extérieure avec 7 passe-câbles Diall </t>
  </si>
  <si>
    <t xml:space="preserve">https://www.castorama.fr/boite-de-derivation-exterieure-avec-7-passe-cables-et-systeme-de-verrouillage-integre-diall-100x-100-x-55-mm/3663602794141_CAFR.prd</t>
  </si>
  <si>
    <t xml:space="preserve">Module booster DC3.7V jusqu'à 1800V, impulsion d'arc DC4.2V jusqu'à 2000V DC (5 pièces)</t>
  </si>
  <si>
    <t xml:space="preserve">AliExpress</t>
  </si>
  <si>
    <t xml:space="preserve">https://fr.aliexpress.com/item/1005008737696511.html</t>
  </si>
  <si>
    <t xml:space="preserve">Panneau solaire Portable 50W, DC 18V</t>
  </si>
  <si>
    <t xml:space="preserve">https://fr.aliexpress.com/item/1005008640163222.html</t>
  </si>
  <si>
    <t xml:space="preserve">Condensateur à couche mince haute tension non inductif, 0.47UF, 2000V DC</t>
  </si>
  <si>
    <t xml:space="preserve">https://fr.aliexpress.com/item/1005007876406707.html</t>
  </si>
  <si>
    <t xml:space="preserve">Support panneau solaire</t>
  </si>
  <si>
    <t xml:space="preserve">Poteau en bois Blooma vert 4,5 x 4,5 x h.180 cm</t>
  </si>
  <si>
    <t xml:space="preserve">https://www.castorama.fr/poteau-en-bois-blooma-vert-4-5-x-4-5-x-h-180-cm/3663602433187_CAFR.prd</t>
  </si>
  <si>
    <t xml:space="preserve">Base poteau à enfoncer galva 4,5 x 4,5 cm</t>
  </si>
  <si>
    <t xml:space="preserve">https://www.castorama.fr/base-poteau-a-enfoncer-galva-4-5-x-4-5-cm/3663602943228_CAFR.prd</t>
  </si>
  <si>
    <t xml:space="preserve">Planche de coffrage brut en sapin et epicéa 27X150X3000 mm</t>
  </si>
  <si>
    <t xml:space="preserve">https://www.castorama.fr/planche-de-coffrage-brut-en-sapin-et-epicea-27x150x3000-mm/5059340854168_CAFR.prd</t>
  </si>
  <si>
    <t xml:space="preserve">TOTAL</t>
  </si>
  <si>
    <t xml:space="preserve">Pour 1 harpe :</t>
  </si>
  <si>
    <t xml:space="preserve">Fixation isolateurs</t>
  </si>
  <si>
    <t xml:space="preserve">Pieds</t>
  </si>
  <si>
    <t xml:space="preserve">Montants</t>
  </si>
  <si>
    <t xml:space="preserve">Etais</t>
  </si>
  <si>
    <t xml:space="preserve">Longueurs de 2,40m</t>
  </si>
  <si>
    <t xml:space="preserve">Tasseau #</t>
  </si>
  <si>
    <t xml:space="preserve">Usage</t>
  </si>
  <si>
    <t xml:space="preserve">L1</t>
  </si>
  <si>
    <t xml:space="preserve">L2</t>
  </si>
  <si>
    <t xml:space="preserve">L3</t>
  </si>
  <si>
    <t xml:space="preserve">Total</t>
  </si>
  <si>
    <t xml:space="preserve">(mm)</t>
  </si>
  <si>
    <t xml:space="preserve">Cadre 1</t>
  </si>
  <si>
    <t xml:space="preserve">Cadre 2</t>
  </si>
  <si>
    <t xml:space="preserve">Cadre 3</t>
  </si>
  <si>
    <t xml:space="preserve">Piétements</t>
  </si>
  <si>
    <t xml:space="preserve">Puissance (P)</t>
  </si>
  <si>
    <t xml:space="preserve">Px</t>
  </si>
  <si>
    <t xml:space="preserve">A</t>
  </si>
  <si>
    <t xml:space="preserve">B</t>
  </si>
  <si>
    <t xml:space="preserve">Nb </t>
  </si>
  <si>
    <t xml:space="preserve">P/cellule</t>
  </si>
  <si>
    <t xml:space="preserve">Surface (S)</t>
  </si>
  <si>
    <t xml:space="preserve">P/S </t>
  </si>
  <si>
    <t xml:space="preserve">Px/P</t>
  </si>
  <si>
    <t xml:space="preserve">(W)</t>
  </si>
  <si>
    <t xml:space="preserve">(€)</t>
  </si>
  <si>
    <t xml:space="preserve">cellulles</t>
  </si>
  <si>
    <t xml:space="preserve">(m²)</t>
  </si>
  <si>
    <t xml:space="preserve">(W/m²)</t>
  </si>
  <si>
    <t xml:space="preserve">(€/W)</t>
  </si>
  <si>
    <t xml:space="preserve">https://fr.aliexpress.com/item/1005008035401494.html</t>
  </si>
  <si>
    <t xml:space="preserve">https://fr.aliexpress.com/item/1005007924230655.html </t>
  </si>
  <si>
    <t xml:space="preserve">https://fr.aliexpress.com/item/1005004067696248.html</t>
  </si>
  <si>
    <t xml:space="preserve">https://fr.aliexpress.com/item/1005008198613878.html</t>
  </si>
  <si>
    <t xml:space="preserve">SKU</t>
  </si>
  <si>
    <t xml:space="preserve">Total </t>
  </si>
  <si>
    <t xml:space="preserve">Casto allée</t>
  </si>
  <si>
    <t xml:space="preserve">Pour un panneau solaire, support de 750x650</t>
  </si>
  <si>
    <t xml:space="preserve">Base poteau à enfoncer galva 7 x 7 cm</t>
  </si>
  <si>
    <t xml:space="preserve">Poteau en bois Blooma vert 7 x 7 x h.180 cm</t>
  </si>
  <si>
    <t xml:space="preserve">Elt. 1</t>
  </si>
  <si>
    <t xml:space="preserve">Elt. 2</t>
  </si>
  <si>
    <t xml:space="preserve">Elt. 3</t>
  </si>
  <si>
    <t xml:space="preserve">Elt. 4</t>
  </si>
  <si>
    <t xml:space="preserve">Elt 5 </t>
  </si>
  <si>
    <t xml:space="preserve">Elt 6</t>
  </si>
  <si>
    <t xml:space="preserve">Elt7</t>
  </si>
  <si>
    <t xml:space="preserve">Elt8</t>
  </si>
  <si>
    <t xml:space="preserve">Reste</t>
  </si>
  <si>
    <t xml:space="preserve">Pour 2 panneaux ensemble</t>
  </si>
  <si>
    <t xml:space="preserve">Planche 27X150X3000 mm</t>
  </si>
  <si>
    <t xml:space="preserve">travée</t>
  </si>
  <si>
    <t xml:space="preserve">2 supp.</t>
  </si>
  <si>
    <t xml:space="preserve">2 assy</t>
  </si>
  <si>
    <t xml:space="preserve">incliné</t>
  </si>
  <si>
    <t xml:space="preserve">tablette</t>
  </si>
  <si>
    <t xml:space="preserve">Panneau 1 et tablette</t>
  </si>
  <si>
    <t xml:space="preserve">Panneau 2</t>
  </si>
  <si>
    <t xml:space="preserve">reste panneau 1</t>
  </si>
  <si>
    <t xml:space="preserve">Support panneau 1</t>
  </si>
  <si>
    <t xml:space="preserve">Tablette en haut de poteau pour pluviomètre</t>
  </si>
  <si>
    <t xml:space="preserve">Support panneau 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</si>
</sst>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General"/>
    <numFmt numFmtId="167" formatCode="0.00"/>
    <numFmt numFmtId="168" formatCode="0.000"/>
    <numFmt numFmtId="169" formatCode="0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ptos Narrow"/>
      <family val="2"/>
      <charset val="1"/>
    </font>
    <font>
      <b val="true"/>
      <i val="true"/>
      <sz val="13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u val="single"/>
      <sz val="11"/>
      <color theme="10"/>
      <name val="Aptos Narrow"/>
      <family val="2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  <font>
      <sz val="11"/>
      <color theme="1"/>
      <name val="Aptos Narrow"/>
      <family val="0"/>
      <charset val="1"/>
    </font>
    <font>
      <i val="true"/>
      <sz val="11"/>
      <color theme="1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A6099"/>
        <bgColor rgb="FF467886"/>
      </patternFill>
    </fill>
    <fill>
      <patternFill patternType="solid">
        <fgColor rgb="FFB4C7DC"/>
        <bgColor rgb="FFCCCCFF"/>
      </patternFill>
    </fill>
    <fill>
      <patternFill patternType="solid">
        <fgColor rgb="FF92D050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ricodepot.fr/lempdes-clermont-ferrand/botte-de-8-tasseaux-en-sapin-brut-l-240-m-section-38-x-15-mm/prod63236/" TargetMode="External"/><Relationship Id="rId2" Type="http://schemas.openxmlformats.org/officeDocument/2006/relationships/hyperlink" Target="https://www.castorama.fr/vernis-marin-bois-incolore-mat-0-25l-syntilor/3239911261096_CAFR.prd" TargetMode="External"/><Relationship Id="rId3" Type="http://schemas.openxmlformats.org/officeDocument/2006/relationships/hyperlink" Target="https://www.bricodepot.fr/lempdes-clermont-ferrand/auge-en-plastique-tous-travaux-10-l/prod382/ref281622/" TargetMode="External"/><Relationship Id="rId4" Type="http://schemas.openxmlformats.org/officeDocument/2006/relationships/hyperlink" Target="https://www.bricodepot.fr/lempdes-clermont-ferrand/equerre-dassemblage60x60x40-mm-ep-15-a-25mm-selon-les-modeles/prod1707/ref172596/" TargetMode="External"/><Relationship Id="rId5" Type="http://schemas.openxmlformats.org/officeDocument/2006/relationships/hyperlink" Target="https://www.bricodepot.fr/lempdes-clermont-ferrand/boite-300-vis-a-bois-powerfast-ii-4-x-40-mm-tete-fraisee-zingue-blanc-filetage-total/prod87960/ref120577/" TargetMode="External"/><Relationship Id="rId6" Type="http://schemas.openxmlformats.org/officeDocument/2006/relationships/hyperlink" Target="https://www.naturapi.com/barrettes-pour-fabrication-de-harpe-a-frelon-kemp-la-paire.html" TargetMode="External"/><Relationship Id="rId7" Type="http://schemas.openxmlformats.org/officeDocument/2006/relationships/hyperlink" Target="https://www.naturapi.com/fil-inox-recuit-diam-inox-1-4301-304-bobine-de-250g.html" TargetMode="External"/><Relationship Id="rId8" Type="http://schemas.openxmlformats.org/officeDocument/2006/relationships/hyperlink" Target="https://www.castorama.fr/boite-de-derivation-exterieure-avec-7-passe-cables-et-systeme-de-verrouillage-integre-diall-100x-100-x-55-mm/3663602794141_CAFR.prd" TargetMode="External"/><Relationship Id="rId9" Type="http://schemas.openxmlformats.org/officeDocument/2006/relationships/hyperlink" Target="https://fr.aliexpress.com/item/1005008737696511.html" TargetMode="External"/><Relationship Id="rId10" Type="http://schemas.openxmlformats.org/officeDocument/2006/relationships/hyperlink" Target="https://fr.aliexpress.com/item/1005008640163222.html" TargetMode="External"/><Relationship Id="rId11" Type="http://schemas.openxmlformats.org/officeDocument/2006/relationships/hyperlink" Target="https://fr.aliexpress.com/item/1005007876406707.html" TargetMode="External"/><Relationship Id="rId12" Type="http://schemas.openxmlformats.org/officeDocument/2006/relationships/hyperlink" Target="https://www.castorama.fr/poteau-en-bois-blooma-vert-4-5-x-4-5-x-h-180-cm/3663602433187_CAFR.prd" TargetMode="External"/><Relationship Id="rId13" Type="http://schemas.openxmlformats.org/officeDocument/2006/relationships/hyperlink" Target="https://www.castorama.fr/base-poteau-a-enfoncer-galva-4-5-x-4-5-cm/3663602943228_CAFR.prd" TargetMode="External"/><Relationship Id="rId14" Type="http://schemas.openxmlformats.org/officeDocument/2006/relationships/hyperlink" Target="https://www.castorama.fr/planche-de-coffrage-brut-en-sapin-et-epicea-27x150x3000-mm/5059340854168_CAFR.prd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fr.aliexpress.com/item/1005008035401494.html" TargetMode="External"/><Relationship Id="rId2" Type="http://schemas.openxmlformats.org/officeDocument/2006/relationships/hyperlink" Target="https://fr.aliexpress.com/item/1005008640163222.html" TargetMode="External"/><Relationship Id="rId3" Type="http://schemas.openxmlformats.org/officeDocument/2006/relationships/hyperlink" Target="https://fr.aliexpress.com/item/1005007924230655.html" TargetMode="External"/><Relationship Id="rId4" Type="http://schemas.openxmlformats.org/officeDocument/2006/relationships/hyperlink" Target="https://fr.aliexpress.com/item/1005004067696248.html" TargetMode="External"/><Relationship Id="rId5" Type="http://schemas.openxmlformats.org/officeDocument/2006/relationships/hyperlink" Target="https://fr.aliexpress.com/item/1005008198613878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44" activeCellId="0" sqref="A44"/>
    </sheetView>
  </sheetViews>
  <sheetFormatPr defaultColWidth="10.59765625" defaultRowHeight="13.8" zeroHeight="false" outlineLevelRow="0" outlineLevelCol="0"/>
  <cols>
    <col collapsed="false" customWidth="true" hidden="false" outlineLevel="0" max="1" min="1" style="0" width="66.94"/>
    <col collapsed="false" customWidth="true" hidden="false" outlineLevel="0" max="2" min="2" style="0" width="13.26"/>
    <col collapsed="false" customWidth="true" hidden="false" outlineLevel="0" max="3" min="3" style="0" width="7.19"/>
    <col collapsed="false" customWidth="true" hidden="false" outlineLevel="0" max="4" min="4" style="0" width="4.87"/>
    <col collapsed="false" customWidth="true" hidden="false" outlineLevel="0" max="5" min="5" style="0" width="11.64"/>
    <col collapsed="false" customWidth="true" hidden="false" outlineLevel="0" max="6" min="6" style="0" width="133.75"/>
    <col collapsed="false" customWidth="true" hidden="false" outlineLevel="0" max="8" min="7" style="0" width="10.07"/>
    <col collapsed="false" customWidth="true" hidden="false" outlineLevel="0" max="16384" min="16384" style="0" width="10.16"/>
  </cols>
  <sheetData>
    <row r="1" customFormat="false" ht="16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customFormat="false" ht="16.15" hidden="false" customHeight="false" outlineLevel="0" collapsed="false">
      <c r="A2" s="5" t="s">
        <v>6</v>
      </c>
      <c r="B2" s="6"/>
      <c r="C2" s="6"/>
      <c r="D2" s="6"/>
      <c r="E2" s="6"/>
    </row>
    <row r="3" customFormat="false" ht="15.95" hidden="false" customHeight="false" outlineLevel="0" collapsed="false">
      <c r="A3" s="7" t="s">
        <v>7</v>
      </c>
      <c r="B3" s="7" t="s">
        <v>8</v>
      </c>
      <c r="C3" s="8" t="n">
        <v>15.9</v>
      </c>
      <c r="D3" s="7" t="n">
        <v>1</v>
      </c>
      <c r="E3" s="8" t="n">
        <f aca="false">C3*D3</f>
        <v>15.9</v>
      </c>
      <c r="F3" s="9" t="s">
        <v>9</v>
      </c>
    </row>
    <row r="4" customFormat="false" ht="15.95" hidden="false" customHeight="false" outlineLevel="0" collapsed="false">
      <c r="A4" s="10" t="s">
        <v>10</v>
      </c>
      <c r="B4" s="6" t="s">
        <v>11</v>
      </c>
      <c r="C4" s="11" t="n">
        <v>18.9</v>
      </c>
      <c r="D4" s="6" t="n">
        <v>1</v>
      </c>
      <c r="E4" s="11" t="n">
        <f aca="false">C4*D4</f>
        <v>18.9</v>
      </c>
      <c r="F4" s="9" t="s">
        <v>12</v>
      </c>
    </row>
    <row r="5" customFormat="false" ht="15.95" hidden="false" customHeight="false" outlineLevel="0" collapsed="false">
      <c r="A5" s="7" t="s">
        <v>13</v>
      </c>
      <c r="B5" s="7" t="s">
        <v>8</v>
      </c>
      <c r="C5" s="8" t="n">
        <v>2.99</v>
      </c>
      <c r="D5" s="7" t="n">
        <v>3</v>
      </c>
      <c r="E5" s="8" t="n">
        <f aca="false">C5*D5</f>
        <v>8.97</v>
      </c>
      <c r="F5" s="9" t="s">
        <v>14</v>
      </c>
    </row>
    <row r="6" customFormat="false" ht="15.95" hidden="false" customHeight="false" outlineLevel="0" collapsed="false">
      <c r="A6" s="10" t="s">
        <v>15</v>
      </c>
      <c r="B6" s="6" t="s">
        <v>8</v>
      </c>
      <c r="C6" s="11" t="n">
        <v>0.89</v>
      </c>
      <c r="D6" s="6" t="n">
        <v>6</v>
      </c>
      <c r="E6" s="11" t="n">
        <f aca="false">C6*D6</f>
        <v>5.34</v>
      </c>
      <c r="F6" s="9" t="s">
        <v>16</v>
      </c>
    </row>
    <row r="7" customFormat="false" ht="15.95" hidden="false" customHeight="false" outlineLevel="0" collapsed="false">
      <c r="A7" s="7" t="s">
        <v>17</v>
      </c>
      <c r="B7" s="7" t="s">
        <v>8</v>
      </c>
      <c r="C7" s="8" t="n">
        <v>15.9</v>
      </c>
      <c r="D7" s="7" t="n">
        <v>1</v>
      </c>
      <c r="E7" s="8" t="n">
        <f aca="false">C7*D7</f>
        <v>15.9</v>
      </c>
      <c r="F7" s="9" t="s">
        <v>18</v>
      </c>
    </row>
    <row r="8" customFormat="false" ht="13.5" hidden="false" customHeight="false" outlineLevel="0" collapsed="false">
      <c r="A8" s="10" t="s">
        <v>19</v>
      </c>
      <c r="B8" s="6" t="s">
        <v>11</v>
      </c>
      <c r="C8" s="6"/>
      <c r="D8" s="6" t="n">
        <f aca="false">(48+4*4)*3</f>
        <v>192</v>
      </c>
      <c r="E8" s="11" t="n">
        <v>10</v>
      </c>
    </row>
    <row r="9" customFormat="false" ht="13.5" hidden="false" customHeight="false" outlineLevel="0" collapsed="false">
      <c r="A9" s="7" t="s">
        <v>20</v>
      </c>
      <c r="B9" s="7" t="s">
        <v>11</v>
      </c>
      <c r="C9" s="8"/>
      <c r="D9" s="7" t="n">
        <f aca="false">(8+8)*3</f>
        <v>48</v>
      </c>
      <c r="E9" s="8" t="n">
        <v>10</v>
      </c>
    </row>
    <row r="10" customFormat="false" ht="13.5" hidden="false" customHeight="false" outlineLevel="0" collapsed="false">
      <c r="A10" s="10" t="s">
        <v>21</v>
      </c>
      <c r="B10" s="6"/>
      <c r="C10" s="11" t="n">
        <v>1</v>
      </c>
      <c r="D10" s="6" t="n">
        <f aca="false">3*24</f>
        <v>72</v>
      </c>
      <c r="E10" s="11" t="n">
        <f aca="false">C10*D10</f>
        <v>72</v>
      </c>
      <c r="F10" s="0" t="s">
        <v>22</v>
      </c>
    </row>
    <row r="11" customFormat="false" ht="15.95" hidden="false" customHeight="false" outlineLevel="0" collapsed="false">
      <c r="A11" s="7" t="s">
        <v>23</v>
      </c>
      <c r="B11" s="7" t="s">
        <v>24</v>
      </c>
      <c r="C11" s="8" t="n">
        <v>17</v>
      </c>
      <c r="D11" s="7" t="n">
        <v>3</v>
      </c>
      <c r="E11" s="8"/>
      <c r="F11" s="0" t="s">
        <v>25</v>
      </c>
    </row>
    <row r="12" customFormat="false" ht="15.95" hidden="false" customHeight="false" outlineLevel="0" collapsed="false">
      <c r="A12" s="10" t="s">
        <v>26</v>
      </c>
      <c r="B12" s="6" t="s">
        <v>24</v>
      </c>
      <c r="C12" s="11" t="n">
        <v>4.9</v>
      </c>
      <c r="D12" s="6" t="n">
        <v>1</v>
      </c>
      <c r="E12" s="11" t="n">
        <f aca="false">C12*D12</f>
        <v>4.9</v>
      </c>
      <c r="F12" s="0" t="s">
        <v>27</v>
      </c>
    </row>
    <row r="13" customFormat="false" ht="16.4" hidden="false" customHeight="false" outlineLevel="0" collapsed="false">
      <c r="A13" s="5" t="s">
        <v>28</v>
      </c>
      <c r="B13" s="6"/>
      <c r="C13" s="11"/>
      <c r="D13" s="6"/>
      <c r="E13" s="11"/>
      <c r="F13" s="9"/>
    </row>
    <row r="14" customFormat="false" ht="15.95" hidden="false" customHeight="false" outlineLevel="0" collapsed="false">
      <c r="A14" s="7" t="s">
        <v>29</v>
      </c>
      <c r="B14" s="7" t="s">
        <v>11</v>
      </c>
      <c r="C14" s="8" t="n">
        <v>2.59</v>
      </c>
      <c r="D14" s="7" t="n">
        <v>3</v>
      </c>
      <c r="E14" s="8" t="n">
        <f aca="false">C14*D14</f>
        <v>7.77</v>
      </c>
      <c r="F14" s="9" t="s">
        <v>30</v>
      </c>
    </row>
    <row r="15" customFormat="false" ht="15.95" hidden="false" customHeight="false" outlineLevel="0" collapsed="false">
      <c r="A15" s="10" t="s">
        <v>31</v>
      </c>
      <c r="B15" s="6" t="s">
        <v>32</v>
      </c>
      <c r="C15" s="11" t="n">
        <f aca="false">12.29+3.18</f>
        <v>15.47</v>
      </c>
      <c r="D15" s="6" t="n">
        <v>1</v>
      </c>
      <c r="E15" s="11" t="n">
        <f aca="false">C15*D15</f>
        <v>15.47</v>
      </c>
      <c r="F15" s="9" t="s">
        <v>33</v>
      </c>
    </row>
    <row r="16" customFormat="false" ht="15.95" hidden="false" customHeight="false" outlineLevel="0" collapsed="false">
      <c r="A16" s="7" t="s">
        <v>34</v>
      </c>
      <c r="B16" s="7" t="s">
        <v>32</v>
      </c>
      <c r="C16" s="8" t="n">
        <v>35</v>
      </c>
      <c r="D16" s="7" t="n">
        <v>1</v>
      </c>
      <c r="E16" s="8" t="n">
        <f aca="false">C16*D16</f>
        <v>35</v>
      </c>
      <c r="F16" s="12" t="s">
        <v>35</v>
      </c>
    </row>
    <row r="17" customFormat="false" ht="15.95" hidden="false" customHeight="false" outlineLevel="0" collapsed="false">
      <c r="A17" s="10" t="s">
        <v>36</v>
      </c>
      <c r="B17" s="6" t="s">
        <v>32</v>
      </c>
      <c r="C17" s="11" t="n">
        <f aca="false">5.49+3.1</f>
        <v>8.59</v>
      </c>
      <c r="D17" s="6" t="n">
        <v>1</v>
      </c>
      <c r="E17" s="11" t="n">
        <f aca="false">C17*D17</f>
        <v>8.59</v>
      </c>
      <c r="F17" s="9" t="s">
        <v>37</v>
      </c>
    </row>
    <row r="18" customFormat="false" ht="16.15" hidden="false" customHeight="false" outlineLevel="0" collapsed="false">
      <c r="A18" s="5" t="s">
        <v>38</v>
      </c>
      <c r="B18" s="6"/>
      <c r="C18" s="11"/>
      <c r="D18" s="6"/>
      <c r="E18" s="6"/>
    </row>
    <row r="19" customFormat="false" ht="15.95" hidden="false" customHeight="false" outlineLevel="0" collapsed="false">
      <c r="A19" s="7" t="s">
        <v>39</v>
      </c>
      <c r="B19" s="7" t="s">
        <v>11</v>
      </c>
      <c r="C19" s="8" t="n">
        <v>5.19</v>
      </c>
      <c r="D19" s="7" t="n">
        <v>1</v>
      </c>
      <c r="E19" s="8" t="n">
        <f aca="false">C19*D19</f>
        <v>5.19</v>
      </c>
      <c r="F19" s="4" t="s">
        <v>40</v>
      </c>
    </row>
    <row r="20" customFormat="false" ht="15.95" hidden="false" customHeight="false" outlineLevel="0" collapsed="false">
      <c r="A20" s="10" t="s">
        <v>41</v>
      </c>
      <c r="B20" s="6" t="s">
        <v>11</v>
      </c>
      <c r="C20" s="6" t="n">
        <v>7.99</v>
      </c>
      <c r="D20" s="6" t="n">
        <v>1</v>
      </c>
      <c r="E20" s="6" t="n">
        <f aca="false">C20*D20</f>
        <v>7.99</v>
      </c>
      <c r="F20" s="4" t="s">
        <v>42</v>
      </c>
    </row>
    <row r="21" customFormat="false" ht="15.95" hidden="false" customHeight="false" outlineLevel="0" collapsed="false">
      <c r="A21" s="7" t="s">
        <v>43</v>
      </c>
      <c r="B21" s="7" t="s">
        <v>11</v>
      </c>
      <c r="C21" s="8" t="n">
        <v>5.6</v>
      </c>
      <c r="D21" s="7" t="n">
        <v>3</v>
      </c>
      <c r="E21" s="8" t="n">
        <f aca="false">C21*D21</f>
        <v>16.8</v>
      </c>
      <c r="F21" s="4" t="s">
        <v>44</v>
      </c>
    </row>
    <row r="22" customFormat="false" ht="8.5" hidden="false" customHeight="true" outlineLevel="0" collapsed="false">
      <c r="A22" s="13"/>
      <c r="B22" s="13"/>
      <c r="C22" s="14"/>
      <c r="D22" s="13"/>
      <c r="E22" s="14"/>
    </row>
    <row r="23" customFormat="false" ht="13.8" hidden="false" customHeight="false" outlineLevel="0" collapsed="false">
      <c r="A23" s="15" t="s">
        <v>45</v>
      </c>
      <c r="B23" s="15"/>
      <c r="C23" s="15"/>
      <c r="D23" s="15"/>
      <c r="E23" s="16" t="n">
        <f aca="false">SUM(E3:E20)</f>
        <v>241.92</v>
      </c>
    </row>
    <row r="24" customFormat="false" ht="13.8" hidden="false" customHeight="false" outlineLevel="0" collapsed="false">
      <c r="C24" s="17"/>
    </row>
    <row r="25" customFormat="false" ht="13.8" hidden="false" customHeight="false" outlineLevel="0" collapsed="false">
      <c r="C25" s="17"/>
    </row>
  </sheetData>
  <mergeCells count="1">
    <mergeCell ref="A23:D23"/>
  </mergeCells>
  <hyperlinks>
    <hyperlink ref="F3" r:id="rId1" display="https://www.bricodepot.fr/lempdes-clermont-ferrand/botte-de-8-tasseaux-en-sapin-brut-l-240-m-section-38-x-15-mm/prod63236/"/>
    <hyperlink ref="F4" r:id="rId2" display="https://www.castorama.fr/vernis-marin-bois-incolore-mat-0-25l-syntilor/3239911261096_CAFR.prd"/>
    <hyperlink ref="F5" r:id="rId3" display="https://www.bricodepot.fr/lempdes-clermont-ferrand/auge-en-plastique-tous-travaux-10-l/prod382/ref281622/"/>
    <hyperlink ref="F6" r:id="rId4" display="https://www.bricodepot.fr/lempdes-clermont-ferrand/equerre-dassemblage60x60x40-mm-ep-15-a-25mm-selon-les-modeles/prod1707/ref172596/"/>
    <hyperlink ref="F7" r:id="rId5" display="https://www.bricodepot.fr/lempdes-clermont-ferrand/boite-300-vis-a-bois-powerfast-ii-4-x-40-mm-tete-fraisee-zingue-blanc-filetage-total/prod87960/ref120577/"/>
    <hyperlink ref="F11" r:id="rId6" display="https://www.naturapi.com/barrettes-pour-fabrication-de-harpe-a-frelon-kemp-la-paire.html"/>
    <hyperlink ref="F12" r:id="rId7" display="https://www.naturapi.com/fil-inox-recuit-diam-inox-1-4301-304-bobine-de-250g.html"/>
    <hyperlink ref="F14" r:id="rId8" display="https://www.castorama.fr/boite-de-derivation-exterieure-avec-7-passe-cables-et-systeme-de-verrouillage-integre-diall-100x-100-x-55-mm/3663602794141_CAFR.prd"/>
    <hyperlink ref="F15" r:id="rId9" display="https://fr.aliexpress.com/item/1005008737696511.html"/>
    <hyperlink ref="F16" r:id="rId10" display="https://fr.aliexpress.com/item/1005008640163222.html"/>
    <hyperlink ref="F17" r:id="rId11" display="https://fr.aliexpress.com/item/1005007876406707.html"/>
    <hyperlink ref="F19" r:id="rId12" display="https://www.castorama.fr/poteau-en-bois-blooma-vert-4-5-x-4-5-x-h-180-cm/3663602433187_CAFR.prd"/>
    <hyperlink ref="F20" r:id="rId13" display="https://www.castorama.fr/base-poteau-a-enfoncer-galva-4-5-x-4-5-cm/3663602943228_CAFR.prd"/>
    <hyperlink ref="F21" r:id="rId14" display="https://www.castorama.fr/planche-de-coffrage-brut-en-sapin-et-epicea-27x150x3000-mm/5059340854168_CAFR.pr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10.59765625" defaultRowHeight="13.5" zeroHeight="false" outlineLevelRow="0" outlineLevelCol="0"/>
  <cols>
    <col collapsed="false" customWidth="true" hidden="false" outlineLevel="0" max="2" min="2" style="0" width="10.81"/>
    <col collapsed="false" customWidth="true" hidden="false" outlineLevel="0" max="5" min="3" style="0" width="7.56"/>
  </cols>
  <sheetData>
    <row r="1" customFormat="false" ht="13.5" hidden="false" customHeight="false" outlineLevel="0" collapsed="false">
      <c r="A1" s="0" t="s">
        <v>46</v>
      </c>
    </row>
    <row r="2" customFormat="false" ht="13.5" hidden="false" customHeight="false" outlineLevel="0" collapsed="false">
      <c r="A2" s="0" t="s">
        <v>47</v>
      </c>
      <c r="B2" s="0" t="n">
        <v>4</v>
      </c>
      <c r="C2" s="0" t="n">
        <v>700</v>
      </c>
    </row>
    <row r="3" customFormat="false" ht="13.5" hidden="false" customHeight="false" outlineLevel="0" collapsed="false">
      <c r="A3" s="0" t="s">
        <v>48</v>
      </c>
      <c r="B3" s="0" t="n">
        <v>2</v>
      </c>
      <c r="C3" s="0" t="n">
        <v>700</v>
      </c>
    </row>
    <row r="4" customFormat="false" ht="13.5" hidden="false" customHeight="false" outlineLevel="0" collapsed="false">
      <c r="A4" s="0" t="s">
        <v>49</v>
      </c>
      <c r="B4" s="0" t="n">
        <v>2</v>
      </c>
      <c r="C4" s="0" t="n">
        <v>800</v>
      </c>
    </row>
    <row r="5" customFormat="false" ht="13.5" hidden="false" customHeight="false" outlineLevel="0" collapsed="false">
      <c r="A5" s="0" t="s">
        <v>50</v>
      </c>
      <c r="B5" s="0" t="n">
        <v>2</v>
      </c>
      <c r="C5" s="0" t="n">
        <v>300</v>
      </c>
    </row>
    <row r="7" customFormat="false" ht="13.5" hidden="false" customHeight="false" outlineLevel="0" collapsed="false">
      <c r="A7" s="0" t="s">
        <v>51</v>
      </c>
    </row>
    <row r="10" customFormat="false" ht="13.5" hidden="false" customHeight="false" outlineLevel="0" collapsed="false">
      <c r="A10" s="18" t="s">
        <v>52</v>
      </c>
      <c r="B10" s="19" t="s">
        <v>53</v>
      </c>
      <c r="C10" s="20" t="s">
        <v>54</v>
      </c>
      <c r="D10" s="20" t="s">
        <v>55</v>
      </c>
      <c r="E10" s="20" t="s">
        <v>56</v>
      </c>
      <c r="F10" s="21" t="s">
        <v>57</v>
      </c>
    </row>
    <row r="11" customFormat="false" ht="13.5" hidden="false" customHeight="false" outlineLevel="0" collapsed="false">
      <c r="A11" s="18"/>
      <c r="B11" s="19"/>
      <c r="C11" s="22" t="s">
        <v>58</v>
      </c>
      <c r="D11" s="22" t="s">
        <v>58</v>
      </c>
      <c r="E11" s="22" t="s">
        <v>58</v>
      </c>
      <c r="F11" s="23" t="s">
        <v>58</v>
      </c>
    </row>
    <row r="12" customFormat="false" ht="13.5" hidden="false" customHeight="false" outlineLevel="0" collapsed="false">
      <c r="A12" s="24" t="n">
        <v>1</v>
      </c>
      <c r="B12" s="25" t="s">
        <v>59</v>
      </c>
      <c r="C12" s="25" t="n">
        <v>700</v>
      </c>
      <c r="D12" s="25" t="n">
        <v>700</v>
      </c>
      <c r="E12" s="25" t="n">
        <v>800</v>
      </c>
      <c r="F12" s="26" t="n">
        <f aca="false">SUM(C12:E12)</f>
        <v>2200</v>
      </c>
    </row>
    <row r="13" customFormat="false" ht="13.5" hidden="false" customHeight="false" outlineLevel="0" collapsed="false">
      <c r="A13" s="27" t="n">
        <v>2</v>
      </c>
      <c r="B13" s="10" t="s">
        <v>59</v>
      </c>
      <c r="C13" s="10" t="n">
        <v>700</v>
      </c>
      <c r="D13" s="10" t="n">
        <v>700</v>
      </c>
      <c r="E13" s="10" t="n">
        <v>800</v>
      </c>
      <c r="F13" s="28" t="n">
        <f aca="false">SUM(C13:E13)</f>
        <v>2200</v>
      </c>
    </row>
    <row r="14" customFormat="false" ht="13.5" hidden="false" customHeight="false" outlineLevel="0" collapsed="false">
      <c r="A14" s="27" t="n">
        <v>3</v>
      </c>
      <c r="B14" s="10" t="s">
        <v>60</v>
      </c>
      <c r="C14" s="10" t="n">
        <v>700</v>
      </c>
      <c r="D14" s="10" t="n">
        <v>700</v>
      </c>
      <c r="E14" s="10" t="n">
        <v>800</v>
      </c>
      <c r="F14" s="28" t="n">
        <f aca="false">SUM(C14:E14)</f>
        <v>2200</v>
      </c>
    </row>
    <row r="15" customFormat="false" ht="13.5" hidden="false" customHeight="false" outlineLevel="0" collapsed="false">
      <c r="A15" s="27" t="n">
        <v>4</v>
      </c>
      <c r="B15" s="10" t="s">
        <v>60</v>
      </c>
      <c r="C15" s="10" t="n">
        <v>700</v>
      </c>
      <c r="D15" s="10" t="n">
        <v>700</v>
      </c>
      <c r="E15" s="10" t="n">
        <v>800</v>
      </c>
      <c r="F15" s="28" t="n">
        <f aca="false">SUM(C15:E15)</f>
        <v>2200</v>
      </c>
    </row>
    <row r="16" customFormat="false" ht="13.5" hidden="false" customHeight="false" outlineLevel="0" collapsed="false">
      <c r="A16" s="27" t="n">
        <v>5</v>
      </c>
      <c r="B16" s="10" t="s">
        <v>61</v>
      </c>
      <c r="C16" s="10" t="n">
        <v>700</v>
      </c>
      <c r="D16" s="10" t="n">
        <v>700</v>
      </c>
      <c r="E16" s="10" t="n">
        <v>800</v>
      </c>
      <c r="F16" s="28" t="n">
        <f aca="false">SUM(C16:E16)</f>
        <v>2200</v>
      </c>
    </row>
    <row r="17" customFormat="false" ht="13.5" hidden="false" customHeight="false" outlineLevel="0" collapsed="false">
      <c r="A17" s="27" t="n">
        <v>6</v>
      </c>
      <c r="B17" s="10" t="s">
        <v>61</v>
      </c>
      <c r="C17" s="10" t="n">
        <v>700</v>
      </c>
      <c r="D17" s="10" t="n">
        <v>700</v>
      </c>
      <c r="E17" s="10" t="n">
        <v>800</v>
      </c>
      <c r="F17" s="28" t="n">
        <f aca="false">SUM(C17:E17)</f>
        <v>2200</v>
      </c>
    </row>
    <row r="18" customFormat="false" ht="13.5" hidden="false" customHeight="false" outlineLevel="0" collapsed="false">
      <c r="A18" s="27" t="n">
        <v>7</v>
      </c>
      <c r="B18" s="10" t="s">
        <v>62</v>
      </c>
      <c r="C18" s="10" t="n">
        <v>700</v>
      </c>
      <c r="D18" s="10" t="n">
        <v>700</v>
      </c>
      <c r="E18" s="10" t="n">
        <v>700</v>
      </c>
      <c r="F18" s="28" t="n">
        <f aca="false">SUM(C18:E18)</f>
        <v>2100</v>
      </c>
    </row>
    <row r="19" customFormat="false" ht="13.5" hidden="false" customHeight="false" outlineLevel="0" collapsed="false">
      <c r="A19" s="29" t="n">
        <v>8</v>
      </c>
      <c r="B19" s="30" t="s">
        <v>62</v>
      </c>
      <c r="C19" s="30" t="n">
        <v>700</v>
      </c>
      <c r="D19" s="30" t="n">
        <v>700</v>
      </c>
      <c r="E19" s="30" t="n">
        <v>700</v>
      </c>
      <c r="F19" s="31" t="n">
        <f aca="false">SUM(C19:E19)</f>
        <v>2100</v>
      </c>
    </row>
  </sheetData>
  <mergeCells count="2">
    <mergeCell ref="A10:A11"/>
    <mergeCell ref="B10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4" activeCellId="0" sqref="J4"/>
    </sheetView>
  </sheetViews>
  <sheetFormatPr defaultColWidth="10.59765625" defaultRowHeight="13.5" zeroHeight="false" outlineLevelRow="0" outlineLevelCol="0"/>
  <cols>
    <col collapsed="false" customWidth="true" hidden="false" outlineLevel="0" max="1" min="1" style="0" width="12.06"/>
    <col collapsed="false" customWidth="true" hidden="false" outlineLevel="0" max="4" min="2" style="0" width="5.69"/>
    <col collapsed="false" customWidth="true" hidden="false" outlineLevel="0" max="5" min="5" style="0" width="8.31"/>
    <col collapsed="false" customWidth="true" hidden="false" outlineLevel="0" max="6" min="6" style="0" width="9.26"/>
    <col collapsed="false" customWidth="true" hidden="false" outlineLevel="0" max="7" min="7" style="0" width="10"/>
    <col collapsed="false" customWidth="true" hidden="false" outlineLevel="0" max="9" min="8" style="0" width="6.81"/>
    <col collapsed="false" customWidth="true" hidden="false" outlineLevel="0" max="10" min="10" style="0" width="46.44"/>
  </cols>
  <sheetData>
    <row r="1" customFormat="false" ht="13.8" hidden="false" customHeight="false" outlineLevel="0" collapsed="false">
      <c r="A1" s="32" t="s">
        <v>63</v>
      </c>
      <c r="B1" s="33" t="s">
        <v>64</v>
      </c>
      <c r="C1" s="20" t="s">
        <v>65</v>
      </c>
      <c r="D1" s="20" t="s">
        <v>66</v>
      </c>
      <c r="E1" s="20" t="s">
        <v>67</v>
      </c>
      <c r="F1" s="20" t="s">
        <v>68</v>
      </c>
      <c r="G1" s="20" t="s">
        <v>69</v>
      </c>
      <c r="H1" s="20" t="s">
        <v>70</v>
      </c>
      <c r="I1" s="21" t="s">
        <v>71</v>
      </c>
      <c r="J1" s="34" t="s">
        <v>5</v>
      </c>
    </row>
    <row r="2" customFormat="false" ht="13.8" hidden="false" customHeight="false" outlineLevel="0" collapsed="false">
      <c r="A2" s="35" t="s">
        <v>72</v>
      </c>
      <c r="B2" s="36" t="s">
        <v>73</v>
      </c>
      <c r="C2" s="37" t="s">
        <v>58</v>
      </c>
      <c r="D2" s="37" t="s">
        <v>58</v>
      </c>
      <c r="E2" s="38" t="s">
        <v>74</v>
      </c>
      <c r="F2" s="37" t="s">
        <v>72</v>
      </c>
      <c r="G2" s="37" t="s">
        <v>75</v>
      </c>
      <c r="H2" s="37" t="s">
        <v>76</v>
      </c>
      <c r="I2" s="39" t="s">
        <v>77</v>
      </c>
      <c r="J2" s="34"/>
    </row>
    <row r="3" customFormat="false" ht="16.4" hidden="false" customHeight="false" outlineLevel="0" collapsed="false">
      <c r="A3" s="40" t="n">
        <v>60</v>
      </c>
      <c r="B3" s="41" t="n">
        <f aca="false">66.42/2</f>
        <v>33.21</v>
      </c>
      <c r="C3" s="42" t="n">
        <v>605</v>
      </c>
      <c r="D3" s="42" t="n">
        <v>570</v>
      </c>
      <c r="E3" s="42" t="n">
        <v>9</v>
      </c>
      <c r="F3" s="43" t="n">
        <f aca="false">A3/E3</f>
        <v>6.66666666666667</v>
      </c>
      <c r="G3" s="44" t="n">
        <f aca="false">C3*D3/1000000</f>
        <v>0.34485</v>
      </c>
      <c r="H3" s="45" t="n">
        <f aca="false">A3/G3</f>
        <v>173.988690735102</v>
      </c>
      <c r="I3" s="46" t="n">
        <f aca="false">B3/A3</f>
        <v>0.5535</v>
      </c>
      <c r="J3" s="47" t="s">
        <v>78</v>
      </c>
    </row>
    <row r="4" customFormat="false" ht="16.4" hidden="false" customHeight="false" outlineLevel="0" collapsed="false">
      <c r="A4" s="48" t="n">
        <v>50</v>
      </c>
      <c r="B4" s="49" t="n">
        <f aca="false">51.52/2</f>
        <v>25.76</v>
      </c>
      <c r="C4" s="10" t="n">
        <v>790</v>
      </c>
      <c r="D4" s="10" t="n">
        <v>400</v>
      </c>
      <c r="E4" s="10" t="n">
        <v>6</v>
      </c>
      <c r="F4" s="50" t="n">
        <f aca="false">A4/E4</f>
        <v>8.33333333333333</v>
      </c>
      <c r="G4" s="51" t="n">
        <f aca="false">C4*D4/1000000</f>
        <v>0.316</v>
      </c>
      <c r="H4" s="52" t="n">
        <f aca="false">A4/G4</f>
        <v>158.227848101266</v>
      </c>
      <c r="I4" s="53" t="n">
        <f aca="false">B4/A4</f>
        <v>0.5152</v>
      </c>
      <c r="J4" s="54" t="s">
        <v>35</v>
      </c>
    </row>
    <row r="5" customFormat="false" ht="16.4" hidden="false" customHeight="false" outlineLevel="0" collapsed="false">
      <c r="A5" s="48" t="n">
        <v>40</v>
      </c>
      <c r="B5" s="49" t="n">
        <v>27.63</v>
      </c>
      <c r="C5" s="10" t="n">
        <v>570</v>
      </c>
      <c r="D5" s="10" t="n">
        <v>425</v>
      </c>
      <c r="E5" s="10" t="n">
        <v>6</v>
      </c>
      <c r="F5" s="50" t="n">
        <f aca="false">A5/E5</f>
        <v>6.66666666666667</v>
      </c>
      <c r="G5" s="51" t="n">
        <f aca="false">C5*D5/1000000</f>
        <v>0.24225</v>
      </c>
      <c r="H5" s="52" t="n">
        <f aca="false">A5/G5</f>
        <v>165.118679050568</v>
      </c>
      <c r="I5" s="53" t="n">
        <f aca="false">B5/A5</f>
        <v>0.69075</v>
      </c>
      <c r="J5" s="54" t="s">
        <v>79</v>
      </c>
    </row>
    <row r="6" customFormat="false" ht="16.4" hidden="false" customHeight="false" outlineLevel="0" collapsed="false">
      <c r="A6" s="55" t="n">
        <v>20</v>
      </c>
      <c r="B6" s="56" t="n">
        <v>34.79</v>
      </c>
      <c r="C6" s="57" t="n">
        <v>360</v>
      </c>
      <c r="D6" s="57" t="n">
        <v>330</v>
      </c>
      <c r="E6" s="57" t="n">
        <v>4</v>
      </c>
      <c r="F6" s="58" t="n">
        <f aca="false">A6/E6</f>
        <v>5</v>
      </c>
      <c r="G6" s="59" t="n">
        <f aca="false">C6*D6/1000000</f>
        <v>0.1188</v>
      </c>
      <c r="H6" s="60" t="n">
        <f aca="false">A6/G6</f>
        <v>168.350168350168</v>
      </c>
      <c r="I6" s="61" t="n">
        <f aca="false">B6/A6</f>
        <v>1.7395</v>
      </c>
      <c r="J6" s="62" t="s">
        <v>80</v>
      </c>
    </row>
    <row r="7" customFormat="false" ht="16.4" hidden="false" customHeight="false" outlineLevel="0" collapsed="false">
      <c r="A7" s="63" t="n">
        <v>12</v>
      </c>
      <c r="B7" s="64" t="n">
        <v>13.39</v>
      </c>
      <c r="C7" s="30" t="n">
        <v>280</v>
      </c>
      <c r="D7" s="30" t="n">
        <v>270</v>
      </c>
      <c r="E7" s="30" t="n">
        <v>4</v>
      </c>
      <c r="F7" s="65" t="n">
        <f aca="false">A7/E7</f>
        <v>3</v>
      </c>
      <c r="G7" s="66" t="n">
        <f aca="false">C7*D7/1000000</f>
        <v>0.0756</v>
      </c>
      <c r="H7" s="67" t="n">
        <f aca="false">A7/G7</f>
        <v>158.730158730159</v>
      </c>
      <c r="I7" s="68" t="n">
        <f aca="false">B7/A7</f>
        <v>1.11583333333333</v>
      </c>
      <c r="J7" s="69" t="s">
        <v>81</v>
      </c>
    </row>
  </sheetData>
  <mergeCells count="1">
    <mergeCell ref="J1:J2"/>
  </mergeCells>
  <hyperlinks>
    <hyperlink ref="J3" r:id="rId1" display="https://fr.aliexpress.com/item/1005008035401494.html"/>
    <hyperlink ref="J4" r:id="rId2" display="https://fr.aliexpress.com/item/1005008640163222.html"/>
    <hyperlink ref="J5" r:id="rId3" display="https://fr.aliexpress.com/item/1005007924230655.html "/>
    <hyperlink ref="J6" r:id="rId4" display="https://fr.aliexpress.com/item/1005004067696248.html"/>
    <hyperlink ref="J7" r:id="rId5" display="https://fr.aliexpress.com/item/1005008198613878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4" activeCellId="0" sqref="A4"/>
    </sheetView>
  </sheetViews>
  <sheetFormatPr defaultColWidth="10.59765625" defaultRowHeight="13.5" zeroHeight="false" outlineLevelRow="0" outlineLevelCol="0"/>
  <cols>
    <col collapsed="false" customWidth="true" hidden="false" outlineLevel="0" max="1" min="1" style="0" width="53.26"/>
    <col collapsed="false" customWidth="true" hidden="false" outlineLevel="0" max="2" min="2" style="0" width="18"/>
  </cols>
  <sheetData>
    <row r="1" customFormat="false" ht="13.5" hidden="false" customHeight="false" outlineLevel="0" collapsed="false">
      <c r="B1" s="0" t="s">
        <v>82</v>
      </c>
      <c r="C1" s="0" t="s">
        <v>2</v>
      </c>
      <c r="D1" s="0" t="s">
        <v>3</v>
      </c>
      <c r="E1" s="0" t="s">
        <v>83</v>
      </c>
      <c r="F1" s="0" t="s">
        <v>84</v>
      </c>
    </row>
    <row r="2" customFormat="false" ht="13.5" hidden="false" customHeight="false" outlineLevel="0" collapsed="false">
      <c r="A2" s="0" t="s">
        <v>39</v>
      </c>
      <c r="B2" s="70" t="n">
        <v>3663602433187</v>
      </c>
      <c r="C2" s="0" t="n">
        <v>5.19</v>
      </c>
      <c r="D2" s="0" t="n">
        <v>1</v>
      </c>
      <c r="E2" s="4" t="n">
        <f aca="false">C2*D2</f>
        <v>5.19</v>
      </c>
      <c r="F2" s="0" t="n">
        <v>402</v>
      </c>
    </row>
    <row r="3" customFormat="false" ht="13.5" hidden="false" customHeight="false" outlineLevel="0" collapsed="false">
      <c r="A3" s="0" t="s">
        <v>41</v>
      </c>
      <c r="B3" s="70" t="n">
        <v>3663602943228</v>
      </c>
      <c r="C3" s="0" t="n">
        <v>7.99</v>
      </c>
      <c r="D3" s="0" t="n">
        <v>1</v>
      </c>
      <c r="F3" s="0" t="n">
        <v>402</v>
      </c>
    </row>
    <row r="4" customFormat="false" ht="13.5" hidden="false" customHeight="false" outlineLevel="0" collapsed="false">
      <c r="A4" s="0" t="s">
        <v>43</v>
      </c>
      <c r="B4" s="70" t="n">
        <v>5059340854168</v>
      </c>
      <c r="C4" s="0" t="n">
        <v>5.6</v>
      </c>
      <c r="F4" s="0" t="n">
        <v>408</v>
      </c>
    </row>
    <row r="5" customFormat="false" ht="13.5" hidden="false" customHeight="false" outlineLevel="0" collapsed="false">
      <c r="B5" s="70"/>
    </row>
    <row r="6" customFormat="false" ht="13.5" hidden="false" customHeight="false" outlineLevel="0" collapsed="false">
      <c r="A6" s="0" t="s">
        <v>85</v>
      </c>
      <c r="B6" s="70"/>
    </row>
    <row r="7" customFormat="false" ht="13.5" hidden="false" customHeight="false" outlineLevel="0" collapsed="false">
      <c r="B7" s="70" t="n">
        <v>625</v>
      </c>
      <c r="C7" s="0" t="n">
        <v>625</v>
      </c>
      <c r="D7" s="70" t="n">
        <v>625</v>
      </c>
      <c r="E7" s="0" t="n">
        <v>625</v>
      </c>
      <c r="F7" s="70" t="n">
        <v>250</v>
      </c>
      <c r="G7" s="0" t="n">
        <v>250</v>
      </c>
      <c r="H7" s="70" t="n">
        <f aca="false">SUM(B7:G7)</f>
        <v>3000</v>
      </c>
    </row>
    <row r="8" customFormat="false" ht="13.5" hidden="false" customHeight="false" outlineLevel="0" collapsed="false">
      <c r="B8" s="70" t="n">
        <v>625</v>
      </c>
      <c r="C8" s="0" t="n">
        <v>625</v>
      </c>
      <c r="D8" s="70" t="n">
        <v>625</v>
      </c>
      <c r="E8" s="0" t="n">
        <v>625</v>
      </c>
      <c r="F8" s="70" t="n">
        <v>500</v>
      </c>
      <c r="H8" s="70" t="n">
        <f aca="false">SUM(B8:G8)</f>
        <v>3000</v>
      </c>
    </row>
    <row r="9" customFormat="false" ht="13.5" hidden="false" customHeight="false" outlineLevel="0" collapsed="false">
      <c r="B9" s="70" t="n">
        <v>625</v>
      </c>
      <c r="C9" s="0" t="n">
        <v>625</v>
      </c>
      <c r="D9" s="70" t="n">
        <v>625</v>
      </c>
      <c r="E9" s="0" t="n">
        <v>625</v>
      </c>
      <c r="F9" s="70" t="n">
        <v>500</v>
      </c>
      <c r="H9" s="70" t="n">
        <f aca="false">SUM(B9:G9)</f>
        <v>3000</v>
      </c>
    </row>
    <row r="12" customFormat="false" ht="13.5" hidden="false" customHeight="false" outlineLevel="0" collapsed="false">
      <c r="A12" s="0" t="s">
        <v>86</v>
      </c>
      <c r="B12" s="70" t="n">
        <v>3663602943242</v>
      </c>
      <c r="C12" s="0" t="n">
        <v>8.09</v>
      </c>
      <c r="D12" s="70" t="n">
        <v>1</v>
      </c>
      <c r="F12" s="70" t="n">
        <v>404</v>
      </c>
    </row>
    <row r="13" customFormat="false" ht="13.5" hidden="false" customHeight="false" outlineLevel="0" collapsed="false">
      <c r="A13" s="0" t="s">
        <v>87</v>
      </c>
      <c r="B13" s="70" t="n">
        <v>3663602433200</v>
      </c>
      <c r="C13" s="0" t="n">
        <v>7.339</v>
      </c>
      <c r="D13" s="70" t="n">
        <v>11</v>
      </c>
      <c r="F13" s="70" t="n">
        <v>404</v>
      </c>
    </row>
    <row r="21" customFormat="false" ht="13.5" hidden="false" customHeight="false" outlineLevel="0" collapsed="false">
      <c r="C21" s="0" t="n">
        <f aca="false">ATAN(250/750)*180/PI()</f>
        <v>18.434948822922</v>
      </c>
    </row>
    <row r="22" customFormat="false" ht="13.5" hidden="false" customHeight="false" outlineLevel="0" collapsed="false">
      <c r="C22" s="0" t="n">
        <f aca="false">ATAN(500/750)*180/PI()</f>
        <v>33.6900675259798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59765625" defaultRowHeight="13.5" zeroHeight="false" outlineLevelRow="0" outlineLevelCol="0"/>
  <cols>
    <col collapsed="false" customWidth="true" hidden="false" outlineLevel="0" max="1" min="1" style="0" width="22.25"/>
    <col collapsed="false" customWidth="true" hidden="false" outlineLevel="0" max="11" min="2" style="0" width="6.75"/>
  </cols>
  <sheetData>
    <row r="1" customFormat="false" ht="13.8" hidden="false" customHeight="false" outlineLevel="0" collapsed="false">
      <c r="A1" s="71"/>
      <c r="B1" s="72" t="s">
        <v>88</v>
      </c>
      <c r="C1" s="72" t="s">
        <v>89</v>
      </c>
      <c r="D1" s="72" t="s">
        <v>90</v>
      </c>
      <c r="E1" s="72" t="s">
        <v>91</v>
      </c>
      <c r="F1" s="72" t="s">
        <v>92</v>
      </c>
      <c r="G1" s="72" t="s">
        <v>93</v>
      </c>
      <c r="H1" s="72" t="s">
        <v>94</v>
      </c>
      <c r="I1" s="72" t="s">
        <v>95</v>
      </c>
      <c r="J1" s="72" t="s">
        <v>96</v>
      </c>
      <c r="K1" s="73" t="s">
        <v>45</v>
      </c>
    </row>
    <row r="2" customFormat="false" ht="4.5" hidden="false" customHeight="true" outlineLevel="0" collapsed="false"/>
    <row r="3" customFormat="false" ht="13.5" hidden="false" customHeight="false" outlineLevel="0" collapsed="false">
      <c r="A3" s="74" t="s">
        <v>97</v>
      </c>
      <c r="B3" s="75"/>
      <c r="C3" s="75"/>
      <c r="D3" s="75"/>
      <c r="E3" s="75"/>
      <c r="F3" s="75"/>
      <c r="G3" s="75"/>
      <c r="H3" s="75"/>
      <c r="I3" s="75"/>
      <c r="J3" s="75"/>
      <c r="K3" s="76"/>
    </row>
    <row r="4" customFormat="false" ht="13.5" hidden="false" customHeight="false" outlineLevel="0" collapsed="false">
      <c r="A4" s="27" t="s">
        <v>98</v>
      </c>
      <c r="B4" s="52" t="n">
        <v>625</v>
      </c>
      <c r="C4" s="77" t="n">
        <v>625</v>
      </c>
      <c r="D4" s="52" t="n">
        <v>625</v>
      </c>
      <c r="E4" s="77" t="n">
        <v>625</v>
      </c>
      <c r="F4" s="52" t="n">
        <v>500</v>
      </c>
      <c r="G4" s="10"/>
      <c r="H4" s="10"/>
      <c r="I4" s="10"/>
      <c r="J4" s="78" t="n">
        <f aca="false">K4-SUM(B4:I4)</f>
        <v>0</v>
      </c>
      <c r="K4" s="28" t="n">
        <v>3000</v>
      </c>
      <c r="M4" s="70"/>
    </row>
    <row r="5" customFormat="false" ht="13.5" hidden="false" customHeight="false" outlineLevel="0" collapsed="false">
      <c r="A5" s="27"/>
      <c r="B5" s="52" t="s">
        <v>99</v>
      </c>
      <c r="C5" s="52" t="s">
        <v>99</v>
      </c>
      <c r="D5" s="52" t="s">
        <v>99</v>
      </c>
      <c r="E5" s="52" t="s">
        <v>99</v>
      </c>
      <c r="F5" s="52" t="s">
        <v>100</v>
      </c>
      <c r="G5" s="10"/>
      <c r="H5" s="10"/>
      <c r="I5" s="10"/>
      <c r="J5" s="10"/>
      <c r="K5" s="28"/>
    </row>
    <row r="6" customFormat="false" ht="13.5" hidden="false" customHeight="false" outlineLevel="0" collapsed="false">
      <c r="A6" s="27" t="s">
        <v>98</v>
      </c>
      <c r="B6" s="77" t="n">
        <v>600</v>
      </c>
      <c r="C6" s="77" t="n">
        <v>150</v>
      </c>
      <c r="D6" s="79" t="n">
        <v>150</v>
      </c>
      <c r="E6" s="79" t="n">
        <v>600</v>
      </c>
      <c r="F6" s="79" t="n">
        <v>500</v>
      </c>
      <c r="G6" s="80" t="n">
        <v>300</v>
      </c>
      <c r="H6" s="80" t="n">
        <v>300</v>
      </c>
      <c r="I6" s="80" t="n">
        <v>300</v>
      </c>
      <c r="J6" s="78" t="n">
        <f aca="false">K6-SUM(B6:I6)</f>
        <v>100</v>
      </c>
      <c r="K6" s="28" t="n">
        <v>3000</v>
      </c>
    </row>
    <row r="7" customFormat="false" ht="13.5" hidden="false" customHeight="false" outlineLevel="0" collapsed="false">
      <c r="A7" s="27"/>
      <c r="B7" s="77" t="s">
        <v>101</v>
      </c>
      <c r="C7" s="52" t="s">
        <v>100</v>
      </c>
      <c r="D7" s="81" t="s">
        <v>100</v>
      </c>
      <c r="E7" s="79" t="s">
        <v>101</v>
      </c>
      <c r="F7" s="82" t="s">
        <v>102</v>
      </c>
      <c r="G7" s="80" t="s">
        <v>103</v>
      </c>
      <c r="H7" s="80" t="s">
        <v>103</v>
      </c>
      <c r="I7" s="80" t="s">
        <v>101</v>
      </c>
      <c r="J7" s="10"/>
      <c r="K7" s="28"/>
    </row>
    <row r="8" customFormat="false" ht="13.5" hidden="false" customHeight="false" outlineLevel="0" collapsed="false">
      <c r="A8" s="27" t="s">
        <v>98</v>
      </c>
      <c r="B8" s="82" t="n">
        <v>625</v>
      </c>
      <c r="C8" s="79" t="n">
        <v>625</v>
      </c>
      <c r="D8" s="82" t="n">
        <v>625</v>
      </c>
      <c r="E8" s="79" t="n">
        <v>625</v>
      </c>
      <c r="F8" s="79" t="n">
        <v>500</v>
      </c>
      <c r="G8" s="10"/>
      <c r="H8" s="10"/>
      <c r="I8" s="10"/>
      <c r="J8" s="78" t="n">
        <f aca="false">K8-SUM(B8:I8)</f>
        <v>0</v>
      </c>
      <c r="K8" s="28" t="n">
        <v>3000</v>
      </c>
    </row>
    <row r="9" customFormat="false" ht="13.5" hidden="false" customHeight="false" outlineLevel="0" collapsed="false">
      <c r="A9" s="29"/>
      <c r="B9" s="83" t="s">
        <v>99</v>
      </c>
      <c r="C9" s="83" t="s">
        <v>99</v>
      </c>
      <c r="D9" s="83" t="s">
        <v>99</v>
      </c>
      <c r="E9" s="83" t="s">
        <v>99</v>
      </c>
      <c r="F9" s="83" t="s">
        <v>102</v>
      </c>
      <c r="G9" s="30"/>
      <c r="H9" s="30"/>
      <c r="I9" s="30"/>
      <c r="J9" s="30"/>
      <c r="K9" s="31"/>
    </row>
    <row r="10" customFormat="false" ht="4.5" hidden="false" customHeight="true" outlineLevel="0" collapsed="false"/>
    <row r="11" customFormat="false" ht="13.5" hidden="false" customHeight="false" outlineLevel="0" collapsed="false">
      <c r="A11" s="74" t="s">
        <v>104</v>
      </c>
      <c r="B11" s="42"/>
      <c r="C11" s="42"/>
      <c r="D11" s="42"/>
      <c r="E11" s="42"/>
      <c r="F11" s="42"/>
      <c r="G11" s="42"/>
      <c r="H11" s="42"/>
      <c r="I11" s="42"/>
      <c r="J11" s="42"/>
      <c r="K11" s="84"/>
    </row>
    <row r="12" customFormat="false" ht="13.5" hidden="false" customHeight="false" outlineLevel="0" collapsed="false">
      <c r="A12" s="27" t="s">
        <v>98</v>
      </c>
      <c r="B12" s="52" t="n">
        <v>625</v>
      </c>
      <c r="C12" s="77" t="n">
        <v>625</v>
      </c>
      <c r="D12" s="52" t="n">
        <v>625</v>
      </c>
      <c r="E12" s="77" t="n">
        <v>625</v>
      </c>
      <c r="F12" s="52" t="n">
        <v>500</v>
      </c>
      <c r="G12" s="10"/>
      <c r="H12" s="10"/>
      <c r="I12" s="10"/>
      <c r="J12" s="78" t="n">
        <f aca="false">K12-SUM(B12:H12)</f>
        <v>0</v>
      </c>
      <c r="K12" s="28" t="n">
        <v>3000</v>
      </c>
    </row>
    <row r="13" customFormat="false" ht="13.5" hidden="false" customHeight="false" outlineLevel="0" collapsed="false">
      <c r="A13" s="27"/>
      <c r="B13" s="52" t="s">
        <v>99</v>
      </c>
      <c r="C13" s="52" t="s">
        <v>99</v>
      </c>
      <c r="D13" s="52" t="s">
        <v>99</v>
      </c>
      <c r="E13" s="52" t="s">
        <v>99</v>
      </c>
      <c r="F13" s="52" t="s">
        <v>100</v>
      </c>
      <c r="G13" s="10"/>
      <c r="H13" s="10"/>
      <c r="I13" s="10"/>
      <c r="J13" s="10"/>
      <c r="K13" s="28"/>
    </row>
    <row r="14" customFormat="false" ht="13.5" hidden="false" customHeight="false" outlineLevel="0" collapsed="false">
      <c r="A14" s="27" t="s">
        <v>98</v>
      </c>
      <c r="B14" s="77" t="n">
        <v>600</v>
      </c>
      <c r="C14" s="77" t="n">
        <v>150</v>
      </c>
      <c r="D14" s="80" t="n">
        <v>300</v>
      </c>
      <c r="E14" s="80" t="n">
        <v>300</v>
      </c>
      <c r="F14" s="80" t="n">
        <v>300</v>
      </c>
      <c r="G14" s="78"/>
      <c r="H14" s="78"/>
      <c r="I14" s="78"/>
      <c r="J14" s="78" t="n">
        <f aca="false">K14-SUM(B14:I14)</f>
        <v>1350</v>
      </c>
      <c r="K14" s="28" t="n">
        <v>3000</v>
      </c>
    </row>
    <row r="15" customFormat="false" ht="13.5" hidden="false" customHeight="false" outlineLevel="0" collapsed="false">
      <c r="A15" s="29"/>
      <c r="B15" s="85" t="s">
        <v>101</v>
      </c>
      <c r="C15" s="52" t="s">
        <v>100</v>
      </c>
      <c r="D15" s="86" t="s">
        <v>103</v>
      </c>
      <c r="E15" s="86" t="s">
        <v>103</v>
      </c>
      <c r="F15" s="86" t="s">
        <v>101</v>
      </c>
      <c r="G15" s="67"/>
      <c r="H15" s="67"/>
      <c r="I15" s="67"/>
      <c r="J15" s="67"/>
      <c r="K15" s="31"/>
    </row>
    <row r="16" customFormat="false" ht="13.5" hidden="false" customHeight="false" outlineLevel="0" collapsed="false">
      <c r="A16" s="74" t="s">
        <v>105</v>
      </c>
      <c r="B16" s="42"/>
      <c r="C16" s="42"/>
      <c r="D16" s="42"/>
      <c r="E16" s="42"/>
      <c r="F16" s="42"/>
      <c r="G16" s="42"/>
      <c r="H16" s="42"/>
      <c r="I16" s="42"/>
      <c r="J16" s="42"/>
      <c r="K16" s="84"/>
      <c r="M16" s="70"/>
    </row>
    <row r="17" customFormat="false" ht="13.5" hidden="false" customHeight="false" outlineLevel="0" collapsed="false">
      <c r="A17" s="27" t="s">
        <v>106</v>
      </c>
      <c r="B17" s="79" t="n">
        <v>500</v>
      </c>
      <c r="C17" s="79" t="n">
        <v>600</v>
      </c>
      <c r="D17" s="79" t="n">
        <v>150</v>
      </c>
      <c r="E17" s="10"/>
      <c r="F17" s="10"/>
      <c r="G17" s="10"/>
      <c r="H17" s="10"/>
      <c r="I17" s="10"/>
      <c r="J17" s="78" t="n">
        <f aca="false">K17-SUM(B17:I17)</f>
        <v>100</v>
      </c>
      <c r="K17" s="87" t="n">
        <f aca="false">J14</f>
        <v>1350</v>
      </c>
    </row>
    <row r="18" customFormat="false" ht="13.5" hidden="false" customHeight="false" outlineLevel="0" collapsed="false">
      <c r="A18" s="27"/>
      <c r="B18" s="82" t="s">
        <v>100</v>
      </c>
      <c r="C18" s="79" t="s">
        <v>101</v>
      </c>
      <c r="D18" s="81" t="s">
        <v>100</v>
      </c>
      <c r="E18" s="10"/>
      <c r="F18" s="10"/>
      <c r="G18" s="10"/>
      <c r="H18" s="10"/>
      <c r="I18" s="10"/>
      <c r="J18" s="10"/>
      <c r="K18" s="28"/>
    </row>
    <row r="19" customFormat="false" ht="13.5" hidden="false" customHeight="false" outlineLevel="0" collapsed="false">
      <c r="A19" s="27" t="s">
        <v>98</v>
      </c>
      <c r="B19" s="82" t="n">
        <v>625</v>
      </c>
      <c r="C19" s="79" t="n">
        <v>625</v>
      </c>
      <c r="D19" s="82" t="n">
        <v>625</v>
      </c>
      <c r="E19" s="79" t="n">
        <v>625</v>
      </c>
      <c r="F19" s="79" t="n">
        <v>500</v>
      </c>
      <c r="G19" s="10"/>
      <c r="H19" s="10"/>
      <c r="I19" s="10"/>
      <c r="J19" s="78" t="n">
        <f aca="false">K19-SUM(B19:H19)</f>
        <v>0</v>
      </c>
      <c r="K19" s="28" t="n">
        <v>3000</v>
      </c>
    </row>
    <row r="20" customFormat="false" ht="13.5" hidden="false" customHeight="false" outlineLevel="0" collapsed="false">
      <c r="A20" s="29"/>
      <c r="B20" s="83" t="s">
        <v>99</v>
      </c>
      <c r="C20" s="83" t="s">
        <v>99</v>
      </c>
      <c r="D20" s="83" t="s">
        <v>99</v>
      </c>
      <c r="E20" s="83" t="s">
        <v>99</v>
      </c>
      <c r="F20" s="83" t="s">
        <v>102</v>
      </c>
      <c r="G20" s="30"/>
      <c r="H20" s="30"/>
      <c r="I20" s="30"/>
      <c r="J20" s="30"/>
      <c r="K20" s="31"/>
    </row>
    <row r="21" customFormat="false" ht="4.5" hidden="false" customHeight="true" outlineLevel="0" collapsed="false"/>
    <row r="22" customFormat="false" ht="13.5" hidden="false" customHeight="false" outlineLevel="0" collapsed="false">
      <c r="A22" s="88"/>
      <c r="B22" s="4" t="s">
        <v>107</v>
      </c>
    </row>
    <row r="23" customFormat="false" ht="13.5" hidden="false" customHeight="false" outlineLevel="0" collapsed="false">
      <c r="A23" s="89"/>
      <c r="B23" s="4" t="s">
        <v>108</v>
      </c>
    </row>
    <row r="24" customFormat="false" ht="13.5" hidden="false" customHeight="false" outlineLevel="0" collapsed="false">
      <c r="A24" s="90"/>
      <c r="B24" s="4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2025-07-28T08:26:32Z</dcterms:created>
  <dc:creator>Jean-Noel SIMONNET</dc:creator>
  <dc:description/>
  <dc:language>fr-FR</dc:language>
  <cp:lastModifiedBy/>
  <dcterms:modified xsi:type="dcterms:W3CDTF">2026-06-09T11:53:51Z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